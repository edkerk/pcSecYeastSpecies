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protein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<sst xmlns="http://schemas.openxmlformats.org/spreadsheetml/2006/main" count="89" uniqueCount="70">
  <si>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>Protein name</t>
  </si>
  <si>
    <t>abbreviation</t>
  </si>
  <si>
    <t>ThroughER</t>
  </si>
  <si>
    <t xml:space="preserve">Signal peptide </t>
  </si>
  <si>
    <t>Disulfide site</t>
  </si>
  <si>
    <t>N-glycosylation site</t>
  </si>
  <si>
    <t xml:space="preserve">O-linked glycisylation </t>
  </si>
  <si>
    <t>Transmembrane</t>
  </si>
  <si>
    <t>GPI site</t>
  </si>
  <si>
    <t>Localization</t>
  </si>
  <si>
    <t>sequence</t>
  </si>
  <si>
    <t>Length</t>
  </si>
  <si>
    <t>sp sequence</t>
  </si>
  <si>
    <t>Signal peptide length</t>
  </si>
  <si>
    <t>galactosidase</t>
  </si>
  <si>
    <t>Gal</t>
  </si>
  <si>
    <t>e</t>
  </si>
  <si>
    <t>MSCLIPENLRNPKKVHENRLPTRAYYYDQDIFESLNGPWAFALFDAPLDAPDAKNLDWETAKKWSTISVPSHWELQEDWKYGKPIYTNVQYPIPIDIPNPPTVNPTGVYARTFELDSKSIESFEHRLRFEGVDNCYELYVNGQYVGFNKGSRNGAEFDIQKYVSEGENLVVVKVFKWSDSTYIEDQDQWWLSGIYRDVSLLKLPKKAHIEDVRVTTTFVDSQYQDAELSVKVDVQGSSYDHINFTLYEPEDGSKVYDASSLLNEENGNTTFSTKEFISFSTKKNEETAFKINVKAPEHWTAENPTLYKYQLDLIGSDGSVIQSIKHHVGFRQVELKDGNITVNGKDILFRGVNRHDHHPRFGRAVPLDFVVRDLILMKKFNINAVRNSHYPNHPKVYDLFDKLGFWVIDEADLETHGVQEPFNRHTNLEAEYPDTKNKLYDVNAHYLSDNPEYEVAYLDRASQLVLRDVNHPSIIIWSLGNEACYGRNHKAMYKLIKQLDPTRLVHYEGDLNALSADIFSFMYPTFEIMERWRKNHTDENGKFEKPLILCEYGHAMGNGPGSLKEYQELFYKEKFYQGGFIWEWANHGIEFEDVSTADGKLHKAYAYGGDFKEEVHDGVFIMDGLCNSEHNPTPGLVEYKKVIEPVHIKIAHGSVTITNKHDFITTDHLLFIDKDTGKTIDVPSLKPEESVTIPSDTTYVVAVLKDDAGVLKAGHEIAWGQAELPLKVPDFVTETAEKAAKINDGKRYVSVESSGLHFILDKLLGKIESLKVKGKEISSKFEGSSITFWRPPTNNDEPRDFKNWKKYNIDLMKQNIHGVSVEKGSNGSLAVVTVNSRISPVVFYYGFETVQKYTIFANKINLNTSMKLTGEYQPPDFPRVGYEFWLGDSYESFEWLGRGPGESYPDKKESQRFGLYDSKDVEEFVYDYPQENGNHTDTHFLNIKFEGAGKLSIFQKEKPFNFKISDEYGVDEAAHACDVKRYGRHYLRLDHAIHGVGSEACGPAVLDQYRLKAQDFNFEFDLAFE</t>
  </si>
  <si>
    <t>MSCLIPENLRNPKKVHENRLP</t>
  </si>
  <si>
    <t>glucoseoxidase</t>
  </si>
  <si>
    <t>GOX</t>
  </si>
  <si>
    <t>MQTLLVSSLVVSLAAALPHYIR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</si>
  <si>
    <t>MQTLLVSSLVVSLAAALPHYIR</t>
  </si>
  <si>
    <t>inulinase</t>
  </si>
  <si>
    <t>Inu</t>
  </si>
  <si>
    <t>MKLAYSLLLPLAGVSASVINYKRDGDSKAITNTTFSLNRPSVHFTPSHGWMNDPNGLWYDAKEEDWHLYYQYNPAATIWGTPLYWGHAVSKDLTSWTDYGASLGPGSDDAGAFSGSMVIDYNNTSGFFNSSVDPRQRAVAVWTLSKGPSQAQHISYSLDGGYTFQHYSDNAVLDINSSNFRDPKVFWHEGENGEDGRWIMAVAESQVFSVLFYSSPNLKNWTLESNFTHHGWTGTQYECPGLVKVPYDSVADSSSNSSDSKPDSAWVLFVSINPGGPLGGSVTQYFVGDFNGTHFTPIDDQTRFLDMGKDYYALQTFFNTPNEKDVYGIAWASNWQYAQQAPTDPWRSSMSLVRQFTLKDFSTNPNSADVVLNSQPVLNYDALRKNGTTYSITNYTVTSENGKKIKLDNPSGSLEFHLEYVFNGSPDIKSNVFADLSLYFKGNNDDNEYLRLGYETNGGAFFLDRGHTKIPFVKENLFFNHQLAVTNPVSNYTTNVFDVYGVIDKNIIELYFDNGNVVSTNTFFFSTNNVIGEIDIKSPYDKAYTINSFNVTQFNV</t>
  </si>
  <si>
    <t>MKLAYSLLLPLAGVSAS</t>
  </si>
  <si>
    <t>superoxide dismutase</t>
  </si>
  <si>
    <t>SOD</t>
  </si>
  <si>
    <t>MVNAVAVLKGDSSVSGIVRFEQESEDQQTKISWEITGNDANALRGFHIHTFGDNTNGCTSAGPHFNPFNKNHGAPEDEERHVGDLGNIPTDAQGISKGSLTDKHIKLLGPLSIVGRTVVVHAGQDDLGKGGDAESLKTGNAGARHACGVIGISNA</t>
  </si>
  <si>
    <t>MVNAVAVLKGDSSVSGIVRFE</t>
  </si>
  <si>
    <t>esterase</t>
  </si>
  <si>
    <t>EST</t>
  </si>
  <si>
    <t>MHLLLLHGFTSHPVLTLGPLPERLKEAGWEVRQPALPGHGTRPEDLLKVRFQDWLLAAEEAYLELPEPRGVVGLSMGGLLAAHLAARHPTKALVALAPAFALKNPLAPLAPYLHWLIPRFPGPPSIEDPELRKRNPNYPYFPTRAVLELLALMRKTPEVLPQVKARALVVEAGKDRVVKGVDRYFALLGSPRKDYLVFPESGHDLLLDRDREAVARAVRDWLLASDNYLQ</t>
  </si>
  <si>
    <t>MHLLLLHGFTSHPVLTL</t>
  </si>
  <si>
    <t>human serum albumin</t>
  </si>
  <si>
    <t>HSA</t>
  </si>
  <si>
    <t>MRQVWFSWIVGLFLCFFNVSSAAPVNTTTEDETAQIPAEAVIGYSDLEGDFDVAVLPFSNSTNNGLLFINTTIASIAAKEEGVSLEKREAEAMDAHKSEVAHRFKDLGEENFKALVLIAFAQYLQQCPFEDHVKLVNEVTEFAKTCVADESAENCDKSLHTLFGDKLCTVATLRETYGEMADCCAKQEPERNECFLQHKDDNPNLPRLVRPEVDVMCTAFHDNEETFLKKYLYEIARRHPYFYAPQLLFFAKRYKAAFTECCQAADKAACLLPKLDELRDEGKASSAKQRLKCASLQKFGERAFKAWAVARLSQRFPKAEFAEVSKLVTDLTKVHTECCHGDLLECADDRADLAKYICENQDSISSKLKECCEKPLLEKSHCIAEVENDEMPADLPSLAADFVESKDVCKNYAEAKDVFLGMFLYEYARRHPDYSVVLLLRLAKTYETTLEKCCAAPDPHECYAKVFDEFKPLMEEPQNLIKQNCELFEQLGEYKFQNALLVRYTKKVPQVSTPTLVEVSRNLGKVGSKCCKHPEAKRMPCAEDYLSVVLNQLCVLHEKTPVSDRVTKCCTESLVNRRPCFSALEVDETYVPKEFNAETFTFHADICTLSEKERQIKKQTALVELVKHKPKATKEQLKAVMDDFAAFVEKCCKADDKETCFAEEGKKLVAASQAALGL</t>
  </si>
  <si>
    <t>MRFPSIFTAVLFAASSALA</t>
  </si>
  <si>
    <t>collagen</t>
  </si>
  <si>
    <t>COL</t>
  </si>
  <si>
    <t>MRFPSIFTAVLFAASSALAAPVNTTTEDETAQIPAEAVIGYSDLEGDFDVAVLPFSNSTNNGLLFINTTIASIAAKEEGVSLEKREAEAYVEFRGPPGEPGNPGSPGNQGQPGNKGQNGESGPSGKPGDQGNEGPPGPNGQEGKPGQSGPNGPPGEPGPSGQTGPKGQSGEPGPQGPPGPQGPEGTSGKPGNQGPAGGHHHHHH</t>
  </si>
  <si>
    <t>human hyaluronidase 1</t>
  </si>
  <si>
    <t>PH20</t>
  </si>
  <si>
    <t>MRFPSIFTAVLFAASSALAAPVNTTTEDETAQIPAEAVIGYSDLEGDFDVAVLPFSNSTNNGLLFINTTIASIAAKEEGVSLEKREAEA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NASPSTLS</t>
  </si>
  <si>
    <t>human lactoferrin</t>
  </si>
  <si>
    <t>hLF</t>
  </si>
  <si>
    <t>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*</t>
  </si>
  <si>
    <t>MQFGKVLFAISALAVTALGAPVNTTTEDETAQIPAEAVIGYSDLEGDFDVAVLPFSNSTNNGLLFINTTIASIAAKEEGVSLEKREAEA</t>
  </si>
  <si>
    <t>transferin</t>
  </si>
  <si>
    <t>TRF</t>
  </si>
  <si>
    <t>MKWVFIVSILFLFSSAYSRSLDKR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</si>
  <si>
    <t>MKWVFIVSILFLFSSAYSRSLDKR</t>
  </si>
  <si>
    <t>hemoglobin</t>
  </si>
  <si>
    <t>Hb</t>
  </si>
  <si>
    <t>MRFPSIFTAVLFAASSALAAPVNTTTEDETAQIPAEAVIGYSDLEGDFDVAVLPFSNSTNNGLLFINTTIASIAAKEEGVSLDKREEGEPKVLSPADKTNVKAAWGKVGAHAGEYGAEALERMFLSFPTTKTYFPHFDLSHGSAQVKGHGKKVADALTNAVAHVDDMPNALSALSDLHAHKLRVDPVNFKLLSHCLLVTLAAHLPAEFTPAVHASLDKFLASVSTVLTSKYRGGSGGSGGSGGSGHFTEEDKATITSLWGKVNVEDAGGETLGRLLVVYPWTQRFFDSFGNLSSASAIMGNPKVKAHGKKVLTSLGDAIKHLDDLKGTFAQLSELHCDKLHVDPENFKLLGNVLVTVLAIHFGKEFTPEVQASWQKMVTGVASALSSRYH</t>
  </si>
  <si>
    <t>MRFPSIFTAVLFAASSALAAPVNTTTEDETAQIPAEAVIGYSDLEGDFDVAVLPFSNSTNNGLLFINTTIASIAAKEEGVSLDKREEGEPK</t>
  </si>
  <si>
    <t>acid phosphatase</t>
  </si>
  <si>
    <t>PHO</t>
  </si>
  <si>
    <t>MRFPSIFTAVLFAASSALAAPVNTTTEDETAQIPAEAVIGYSDLEGDFDVAVLPFSNSTNNGLLFINTTIASIAAKEEGVSLDKREEGEPKQFAEFTAFDGKFDFKEHLTSRSPYHKPYFYGPSIDFPTTCKIKQVHTLQRHGSRNPTGGNAAFDAVGIANFQQRLLNGSVPIDYSVSGNPLSFVPTWTPVIEAANADALSSSGRVELFDMGRQFYERYHELFNASTYNIYTAAQQRVVDSALWYGYGMFGEDVHNFTNYILVSENATAGSNSLSSYNACPASDADDFTTPALEAWRNVYMPPIRQRLNPYFSNYNLTNDDILNLYGICSYEIALQDYSEFCKLFNSVDFLNFEYEGDLSFSYGMGNSVKWGSIFGGAYANSLANSLRSVENNTQQVFFAFTHDANIIPVETALGFFTDNTPENPLPTSYQVHSHSMKASEFVPFAGNLITELFQCEDSKYYVRHLVNEEVFPLSDCGFGPSNTSDGMCELYAYLNSPVRVNGTSNGIQNFDTLCNASAVAAVYPY</t>
  </si>
  <si>
    <t>α-amylase</t>
  </si>
  <si>
    <t>AMS</t>
  </si>
  <si>
    <t>MRFPSIFTAVLFAASSALAAPVNTTTEDETAQIPAEAVIGYSDLEGDFDVAVLPFSNSTNNGLLFINTTIASIAAKEEGVSLDKREEGEPKATPADWRSQSIYFLLTDRFARTDGSTTATCNTADRKYCGGTWQGIIDKLDYIQGMGFTAIWITPVTAQLPQTTAYGDAYHGYWQQDIYSLNENYGTADDLKALSSALHERGMYLMVDVVANHMGYDGAGSSVDYSVFKPFSSQDYFHPFCLIQNYEDQTQVEDCWLGDNTVSLPDLDTTKDVVKNEWYDWVGSLVSNYSIDGLRIDTVKHVQKDFWPGYNKAAGVYCIGEVLDGDPAYTCPYQNVMDGVLNYPIYYPLLNAFKSTSGSMDDLYNMINTVKSDCPDSTLLGTFVENHDNPRFASYTNDIALAKNVAAFIILNDGIPIIYAGQEQHYAGGNDPANREATWLSGYPTDSELYKLIASANAIRNYAISKDTGFVTYKNWPIYKDDTTIAMRKGTDGSQIVTILSNKGASGDSYTLSLSGAGYTAGQQLTEVIGCTTVTVGSDGNVPVPMAGGLPRVLYPTEKLAGSKICSSS</t>
  </si>
  <si>
    <t>insulin precursor</t>
  </si>
  <si>
    <t>IP</t>
  </si>
  <si>
    <t>MRFPSIFTAVLFAASSALAAPVNTTTEDETAQIPAEAVIGYSDLEGDFDVAVLPFSNSTNNGLLFINTTIASIAAKEEGVSLDKREEGEPKFVNQHLCGSHLVEALYLVCGERGFFYTPKEWKGIVEQCCTSICSLYQLENYCN</t>
  </si>
  <si>
    <t>β-glucosidase</t>
  </si>
  <si>
    <t>BGL</t>
  </si>
  <si>
    <t>MKVLIVLLAIFAALPLALAQVISTTVGSAAEGSLDKREARPMPLKFPEEFLFGTATAAHQIEGDNKWNDWWYYEQIGKLPYKSGKACNHWEFYKEDIQLMASLGYNAYRFSIEWSRLFPEENKFNEEAFNRYQEIIDLLLANNITPLVTLHHFTSPLWFMKKGGFLREENLKFWEKYVEKVAELLEKVKLIATFNEPMVYVMMGYLTAYWPPFIKSPFKAFKVASNLLKAHALAYEILHGKFQVGIVKNVPIMLPATDKERDKKAAERADNLFNWYFLDAIWSGVYRGAFKAYRVPQSDADFIGINYYTASEVRHSWNPLKFFFDAKLADVSERKTQMGWSVYPRGIYIALKKASKYGKPLYITENGIATLDDEWRIEFIIQHLQYVHKAIEDGLDVRGYFYWSFMDNYEWREGFEPRFGLVEVDYETFERRPRKSAYIYGGIAKSKEIKDEILEKYGLSSL</t>
  </si>
  <si>
    <t>MKVLIVLLAIFAALPLALAQVISTTVGSAAEGSLDKREARP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</si>
</sst>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0000"/>
      <name val="Times New Roman"/>
      <charset val="0"/>
    </font>
    <font>
      <b/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1"/>
      <color indexed="8"/>
      <name val="等线"/>
      <charset val="134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NumberFormat="1" applyFont="1" applyFill="1" applyBorder="1" applyAlignment="1" applyProtection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selection activeCell="Q7" sqref="Q7"/>
    </sheetView>
  </sheetViews>
  <sheetFormatPr defaultColWidth="9" defaultRowHeight="14"/>
  <cols>
    <col min="1" max="1" width="16.5" style="1" customWidth="1"/>
    <col min="2" max="2" width="13.8333333333333" style="1" customWidth="1"/>
    <col min="3" max="3" width="12.8333333333333" style="1" customWidth="1"/>
    <col min="4" max="4" width="15.0833333333333" style="1" customWidth="1"/>
    <col min="5" max="5" width="11.9166666666667" style="1" customWidth="1"/>
    <col min="6" max="6" width="21.0833333333333" style="1" customWidth="1"/>
    <col min="7" max="7" width="22.0833333333333" style="1" customWidth="1"/>
    <col min="8" max="8" width="17.3333333333333" style="1" customWidth="1"/>
    <col min="9" max="9" width="12.8333333333333" style="1" customWidth="1"/>
    <col min="10" max="10" width="12.3333333333333" style="1" customWidth="1"/>
    <col min="11" max="11" width="18.1666666666667" style="1" customWidth="1"/>
    <col min="12" max="12" width="9" style="1"/>
    <col min="13" max="13" width="31.9166666666667" style="1" customWidth="1"/>
    <col min="14" max="14" width="9" style="1"/>
    <col min="15" max="15" width="20.75" style="1" customWidth="1"/>
    <col min="16" max="17" width="9" style="1"/>
    <col min="22" max="22" width="22.0833333333333" customWidth="1"/>
  </cols>
  <sheetData>
    <row r="1" ht="15.5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/>
      <c r="P1"/>
      <c r="Q1"/>
      <c r="R1"/>
      <c r="S1"/>
      <c r="T1" s="4"/>
      <c r="U1" s="4"/>
    </row>
    <row r="2" spans="1:21">
      <c r="A2" s="5" t="s">
        <v>14</v>
      </c>
      <c r="B2" s="5" t="s">
        <v>15</v>
      </c>
      <c r="C2" s="6">
        <v>1</v>
      </c>
      <c r="D2" s="6">
        <v>1</v>
      </c>
      <c r="E2" s="6">
        <v>0</v>
      </c>
      <c r="F2" s="6">
        <v>7</v>
      </c>
      <c r="G2" s="6">
        <v>0</v>
      </c>
      <c r="H2" s="6">
        <v>0</v>
      </c>
      <c r="I2" s="6">
        <v>0</v>
      </c>
      <c r="J2" s="6" t="s">
        <v>16</v>
      </c>
      <c r="K2" s="6" t="s">
        <v>17</v>
      </c>
      <c r="L2" s="6">
        <v>1025</v>
      </c>
      <c r="M2" s="6" t="s">
        <v>18</v>
      </c>
      <c r="N2" s="6">
        <v>21</v>
      </c>
      <c r="O2"/>
      <c r="P2"/>
      <c r="Q2"/>
    </row>
    <row r="3" ht="25" customHeight="1" spans="1:21">
      <c r="A3" s="5" t="s">
        <v>19</v>
      </c>
      <c r="B3" s="5" t="s">
        <v>20</v>
      </c>
      <c r="C3" s="7">
        <v>1</v>
      </c>
      <c r="D3" s="7">
        <v>1</v>
      </c>
      <c r="E3" s="7">
        <v>1</v>
      </c>
      <c r="F3" s="7">
        <v>8</v>
      </c>
      <c r="G3" s="7">
        <v>3</v>
      </c>
      <c r="H3" s="7">
        <v>0</v>
      </c>
      <c r="I3" s="7">
        <v>0</v>
      </c>
      <c r="J3" s="7" t="s">
        <v>16</v>
      </c>
      <c r="K3" s="7" t="s">
        <v>21</v>
      </c>
      <c r="L3" s="7">
        <v>605</v>
      </c>
      <c r="M3" s="7" t="s">
        <v>22</v>
      </c>
      <c r="N3" s="7">
        <v>22</v>
      </c>
      <c r="O3"/>
      <c r="P3"/>
      <c r="Q3"/>
    </row>
    <row r="4" spans="1:21">
      <c r="A4" s="5" t="s">
        <v>23</v>
      </c>
      <c r="B4" s="5" t="s">
        <v>24</v>
      </c>
      <c r="C4" s="6">
        <v>1</v>
      </c>
      <c r="D4" s="6">
        <v>1</v>
      </c>
      <c r="E4" s="6">
        <v>0</v>
      </c>
      <c r="F4" s="6">
        <v>12</v>
      </c>
      <c r="G4" s="6">
        <v>1</v>
      </c>
      <c r="H4" s="6">
        <v>0</v>
      </c>
      <c r="I4" s="6">
        <v>0</v>
      </c>
      <c r="J4" s="6" t="s">
        <v>16</v>
      </c>
      <c r="K4" s="6" t="s">
        <v>25</v>
      </c>
      <c r="L4" s="6">
        <v>556</v>
      </c>
      <c r="M4" s="6" t="s">
        <v>26</v>
      </c>
      <c r="N4" s="6">
        <v>17</v>
      </c>
      <c r="O4"/>
      <c r="P4"/>
      <c r="Q4"/>
    </row>
    <row r="5" spans="1:21">
      <c r="A5" s="5" t="s">
        <v>27</v>
      </c>
      <c r="B5" s="5" t="s">
        <v>28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 t="s">
        <v>16</v>
      </c>
      <c r="K5" s="6" t="s">
        <v>29</v>
      </c>
      <c r="L5" s="6">
        <v>155</v>
      </c>
      <c r="M5" s="6" t="s">
        <v>30</v>
      </c>
      <c r="N5" s="6">
        <v>21</v>
      </c>
      <c r="O5"/>
      <c r="P5"/>
      <c r="Q5"/>
    </row>
    <row r="6" spans="1:21">
      <c r="A6" s="5" t="s">
        <v>31</v>
      </c>
      <c r="B6" s="5" t="s">
        <v>32</v>
      </c>
      <c r="C6" s="6">
        <v>1</v>
      </c>
      <c r="D6" s="6">
        <v>1</v>
      </c>
      <c r="E6" s="6">
        <v>0</v>
      </c>
      <c r="F6" s="6">
        <v>2</v>
      </c>
      <c r="G6" s="6">
        <v>0</v>
      </c>
      <c r="H6" s="6">
        <v>0</v>
      </c>
      <c r="I6" s="6">
        <v>0</v>
      </c>
      <c r="J6" s="6" t="s">
        <v>16</v>
      </c>
      <c r="K6" s="6" t="s">
        <v>33</v>
      </c>
      <c r="L6" s="6">
        <v>230</v>
      </c>
      <c r="M6" s="6" t="s">
        <v>34</v>
      </c>
      <c r="N6" s="6">
        <v>17</v>
      </c>
      <c r="O6"/>
      <c r="P6"/>
      <c r="Q6"/>
    </row>
    <row r="7" ht="24.5" customHeight="1" spans="1:21">
      <c r="A7" s="8" t="s">
        <v>35</v>
      </c>
      <c r="B7" s="8" t="s">
        <v>36</v>
      </c>
      <c r="C7" s="9">
        <v>1</v>
      </c>
      <c r="D7" s="9">
        <v>1</v>
      </c>
      <c r="E7" s="9">
        <v>0</v>
      </c>
      <c r="F7" s="9">
        <v>1</v>
      </c>
      <c r="G7" s="9">
        <v>1</v>
      </c>
      <c r="H7" s="9">
        <v>0</v>
      </c>
      <c r="I7" s="9">
        <v>0</v>
      </c>
      <c r="J7" s="9" t="s">
        <v>16</v>
      </c>
      <c r="K7" s="9" t="s">
        <v>37</v>
      </c>
      <c r="L7" s="9">
        <v>678</v>
      </c>
      <c r="M7" s="9" t="s">
        <v>38</v>
      </c>
      <c r="N7" s="9">
        <v>19</v>
      </c>
      <c r="O7"/>
      <c r="P7"/>
      <c r="Q7"/>
    </row>
    <row r="8" ht="36" customHeight="1" spans="1:21">
      <c r="A8" s="8" t="s">
        <v>39</v>
      </c>
      <c r="B8" s="8" t="s">
        <v>40</v>
      </c>
      <c r="C8" s="9">
        <v>1</v>
      </c>
      <c r="D8" s="9">
        <v>1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 t="s">
        <v>16</v>
      </c>
      <c r="K8" s="9" t="s">
        <v>41</v>
      </c>
      <c r="L8" s="9">
        <v>204</v>
      </c>
      <c r="M8" s="9" t="s">
        <v>38</v>
      </c>
      <c r="N8" s="9">
        <v>19</v>
      </c>
      <c r="O8"/>
      <c r="P8"/>
      <c r="Q8"/>
    </row>
    <row r="9" ht="30" customHeight="1" spans="1:21">
      <c r="A9" s="8" t="s">
        <v>42</v>
      </c>
      <c r="B9" s="8" t="s">
        <v>43</v>
      </c>
      <c r="C9" s="9">
        <v>1</v>
      </c>
      <c r="D9" s="9">
        <v>1</v>
      </c>
      <c r="E9" s="9">
        <v>0</v>
      </c>
      <c r="F9" s="9">
        <v>6</v>
      </c>
      <c r="G9" s="9">
        <v>0</v>
      </c>
      <c r="H9" s="9">
        <v>0</v>
      </c>
      <c r="I9" s="9">
        <v>0</v>
      </c>
      <c r="J9" s="9" t="s">
        <v>16</v>
      </c>
      <c r="K9" s="9" t="s">
        <v>44</v>
      </c>
      <c r="L9" s="9">
        <v>544</v>
      </c>
      <c r="M9" s="9" t="s">
        <v>38</v>
      </c>
      <c r="N9" s="9">
        <v>19</v>
      </c>
      <c r="O9"/>
      <c r="P9"/>
      <c r="Q9"/>
    </row>
    <row r="10" ht="32" customHeight="1" spans="1:21">
      <c r="A10" s="8" t="s">
        <v>45</v>
      </c>
      <c r="B10" s="8" t="s">
        <v>46</v>
      </c>
      <c r="C10" s="10">
        <v>1</v>
      </c>
      <c r="D10" s="10">
        <v>1</v>
      </c>
      <c r="E10" s="10">
        <v>21</v>
      </c>
      <c r="F10" s="10">
        <v>4</v>
      </c>
      <c r="G10" s="10">
        <v>0</v>
      </c>
      <c r="H10" s="10">
        <v>0</v>
      </c>
      <c r="I10" s="10">
        <v>0</v>
      </c>
      <c r="J10" s="10" t="s">
        <v>16</v>
      </c>
      <c r="K10" s="10" t="s">
        <v>47</v>
      </c>
      <c r="L10" s="10">
        <v>691</v>
      </c>
      <c r="M10" s="10" t="s">
        <v>48</v>
      </c>
      <c r="N10" s="10">
        <f>LEN(M10)</f>
        <v>89</v>
      </c>
      <c r="O10"/>
      <c r="P10"/>
      <c r="Q10"/>
    </row>
    <row r="11" spans="1:21">
      <c r="A11" s="8" t="s">
        <v>49</v>
      </c>
      <c r="B11" s="8" t="s">
        <v>50</v>
      </c>
      <c r="C11" s="9">
        <v>1</v>
      </c>
      <c r="D11" s="9">
        <v>1</v>
      </c>
      <c r="E11" s="9">
        <v>19</v>
      </c>
      <c r="F11" s="9">
        <v>0</v>
      </c>
      <c r="G11" s="9">
        <v>1</v>
      </c>
      <c r="H11" s="9">
        <v>0</v>
      </c>
      <c r="I11" s="9">
        <v>0</v>
      </c>
      <c r="J11" s="9" t="s">
        <v>16</v>
      </c>
      <c r="K11" s="9" t="s">
        <v>51</v>
      </c>
      <c r="L11" s="9">
        <v>703</v>
      </c>
      <c r="M11" s="9" t="s">
        <v>52</v>
      </c>
      <c r="N11" s="9">
        <v>24</v>
      </c>
      <c r="O11"/>
      <c r="P11"/>
      <c r="Q11"/>
    </row>
    <row r="12" spans="1:21">
      <c r="A12" s="11" t="s">
        <v>53</v>
      </c>
      <c r="B12" s="11" t="s">
        <v>54</v>
      </c>
      <c r="C12" s="12">
        <v>1</v>
      </c>
      <c r="D12" s="12">
        <v>1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 t="s">
        <v>16</v>
      </c>
      <c r="K12" s="12" t="s">
        <v>55</v>
      </c>
      <c r="L12" s="12">
        <v>390</v>
      </c>
      <c r="M12" s="12" t="s">
        <v>56</v>
      </c>
      <c r="N12" s="12">
        <v>91</v>
      </c>
    </row>
    <row r="13" spans="1:21">
      <c r="A13" s="11" t="s">
        <v>57</v>
      </c>
      <c r="B13" s="11" t="s">
        <v>58</v>
      </c>
      <c r="C13" s="12">
        <v>1</v>
      </c>
      <c r="D13" s="12">
        <v>1</v>
      </c>
      <c r="E13" s="12">
        <v>8</v>
      </c>
      <c r="F13" s="12">
        <v>9</v>
      </c>
      <c r="G13" s="12">
        <v>0</v>
      </c>
      <c r="H13" s="12">
        <v>0</v>
      </c>
      <c r="I13" s="12">
        <v>0</v>
      </c>
      <c r="J13" s="12" t="s">
        <v>16</v>
      </c>
      <c r="K13" s="12" t="s">
        <v>59</v>
      </c>
      <c r="L13" s="12">
        <v>526</v>
      </c>
      <c r="M13" s="12" t="s">
        <v>56</v>
      </c>
      <c r="N13" s="12">
        <v>91</v>
      </c>
    </row>
    <row r="14" spans="1:21">
      <c r="A14" s="11" t="s">
        <v>60</v>
      </c>
      <c r="B14" s="11" t="s">
        <v>61</v>
      </c>
      <c r="C14" s="12">
        <v>1</v>
      </c>
      <c r="D14" s="12">
        <v>1</v>
      </c>
      <c r="E14" s="12">
        <v>4</v>
      </c>
      <c r="F14" s="12">
        <v>1</v>
      </c>
      <c r="G14" s="12">
        <v>0</v>
      </c>
      <c r="H14" s="12">
        <v>0</v>
      </c>
      <c r="I14" s="12">
        <v>0</v>
      </c>
      <c r="J14" s="12" t="s">
        <v>16</v>
      </c>
      <c r="K14" s="12" t="s">
        <v>62</v>
      </c>
      <c r="L14" s="12">
        <v>569</v>
      </c>
      <c r="M14" s="12" t="s">
        <v>56</v>
      </c>
      <c r="N14" s="12">
        <v>91</v>
      </c>
    </row>
    <row r="15" spans="1:21">
      <c r="A15" s="11" t="s">
        <v>63</v>
      </c>
      <c r="B15" s="11" t="s">
        <v>64</v>
      </c>
      <c r="C15" s="12">
        <v>1</v>
      </c>
      <c r="D15" s="12">
        <v>1</v>
      </c>
      <c r="E15" s="12">
        <v>3</v>
      </c>
      <c r="F15" s="12">
        <v>0</v>
      </c>
      <c r="G15" s="12">
        <v>0</v>
      </c>
      <c r="H15" s="12">
        <v>0</v>
      </c>
      <c r="I15" s="12">
        <v>0</v>
      </c>
      <c r="J15" s="12" t="s">
        <v>16</v>
      </c>
      <c r="K15" s="12" t="s">
        <v>65</v>
      </c>
      <c r="L15" s="12">
        <v>144</v>
      </c>
      <c r="M15" s="12" t="s">
        <v>56</v>
      </c>
      <c r="N15" s="12">
        <v>91</v>
      </c>
    </row>
    <row r="16" spans="1:21">
      <c r="A16" s="11" t="s">
        <v>66</v>
      </c>
      <c r="B16" s="11" t="s">
        <v>67</v>
      </c>
      <c r="C16" s="12">
        <v>1</v>
      </c>
      <c r="D16" s="12">
        <v>1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 t="s">
        <v>16</v>
      </c>
      <c r="K16" s="12" t="s">
        <v>68</v>
      </c>
      <c r="L16" s="12">
        <v>462</v>
      </c>
      <c r="M16" s="12" t="s">
        <v>69</v>
      </c>
      <c r="N16" s="12">
        <v>41</v>
      </c>
    </row>
  </sheetData>
  <conditionalFormatting sqref="A1">
    <cfRule type="duplicateValues" dxfId="0" priority="1"/>
    <cfRule type="duplicateValues" dxfId="0" priority="2"/>
  </conditionalFormatting>
  <conditionalFormatting sqref="T1:U1 A1:N1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protein_info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刘丽正(2023214795)</cp:lastModifiedBy>
  <dcterms:created xsi:type="dcterms:W3CDTF">2024-06-03T01:55:00Z</dcterms:created>
  <dcterms:modified xsi:type="dcterms:W3CDTF">2025-12-22T14:15:34Z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A357395DBCE24F6CA7B8E3153C6A054D_12</vt:lpwstr>
  </property>
  <property fmtid="{D5CDD505-2E9C-101B-9397-08002B2CF9AE}" pid="3" name="KSOProductBuildVer">
    <vt:lpwstr>2052-12.1.0.23542</vt:lpwstr>
  </property>
</Properties>
</file>